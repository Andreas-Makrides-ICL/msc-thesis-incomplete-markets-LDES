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sc-thesis-incomplete-markets-LDES\models\Extra\WACC_calculation\"/>
    </mc:Choice>
  </mc:AlternateContent>
  <xr:revisionPtr revIDLastSave="0" documentId="13_ncr:1_{533B5F09-F0AF-4171-8F1A-137EFBC11A04}" xr6:coauthVersionLast="47" xr6:coauthVersionMax="47" xr10:uidLastSave="{00000000-0000-0000-0000-000000000000}"/>
  <bookViews>
    <workbookView xWindow="10812" yWindow="0" windowWidth="12324" windowHeight="12336" xr2:uid="{96383EBD-4DDB-4AF0-82D8-D5946F1DE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1" l="1"/>
  <c r="F70" i="1"/>
  <c r="E81" i="1"/>
  <c r="E82" i="1"/>
  <c r="E83" i="1"/>
  <c r="E84" i="1"/>
  <c r="E85" i="1"/>
  <c r="E86" i="1"/>
  <c r="E87" i="1"/>
  <c r="E88" i="1"/>
  <c r="E80" i="1"/>
  <c r="E70" i="1"/>
  <c r="E72" i="1"/>
  <c r="E71" i="1"/>
  <c r="E75" i="1"/>
  <c r="E73" i="1"/>
  <c r="E74" i="1"/>
  <c r="E76" i="1"/>
  <c r="E77" i="1"/>
  <c r="E78" i="1"/>
  <c r="D77" i="1"/>
  <c r="D78" i="1"/>
  <c r="D71" i="1"/>
  <c r="D72" i="1"/>
  <c r="D73" i="1"/>
  <c r="D74" i="1"/>
  <c r="D75" i="1"/>
  <c r="D76" i="1"/>
  <c r="D70" i="1"/>
  <c r="F71" i="1"/>
  <c r="F72" i="1"/>
  <c r="F73" i="1"/>
  <c r="F74" i="1"/>
  <c r="F75" i="1"/>
  <c r="F76" i="1"/>
  <c r="F77" i="1"/>
  <c r="F78" i="1"/>
  <c r="F61" i="1"/>
  <c r="F62" i="1"/>
  <c r="F63" i="1"/>
  <c r="F64" i="1"/>
  <c r="F65" i="1"/>
  <c r="F66" i="1"/>
  <c r="F67" i="1"/>
  <c r="F68" i="1"/>
  <c r="F60" i="1"/>
  <c r="E61" i="1"/>
  <c r="E62" i="1"/>
  <c r="E63" i="1"/>
  <c r="E64" i="1"/>
  <c r="E65" i="1"/>
  <c r="E66" i="1"/>
  <c r="E67" i="1"/>
  <c r="E68" i="1"/>
  <c r="E44" i="1"/>
  <c r="H20" i="1"/>
  <c r="H17" i="1"/>
  <c r="H18" i="1"/>
  <c r="H19" i="1"/>
  <c r="H21" i="1"/>
  <c r="H22" i="1"/>
  <c r="H16" i="1"/>
  <c r="E17" i="1"/>
  <c r="E18" i="1"/>
  <c r="E19" i="1"/>
  <c r="E20" i="1"/>
  <c r="E21" i="1"/>
  <c r="E22" i="1"/>
  <c r="E16" i="1"/>
  <c r="C9" i="1"/>
  <c r="D9" i="1"/>
  <c r="E9" i="1"/>
  <c r="B9" i="1"/>
</calcChain>
</file>

<file path=xl/sharedStrings.xml><?xml version="1.0" encoding="utf-8"?>
<sst xmlns="http://schemas.openxmlformats.org/spreadsheetml/2006/main" count="40" uniqueCount="23">
  <si>
    <t>Storage Duration</t>
  </si>
  <si>
    <t>BESS</t>
  </si>
  <si>
    <t>LDES</t>
  </si>
  <si>
    <t>P</t>
  </si>
  <si>
    <t>E</t>
  </si>
  <si>
    <t>Duration</t>
  </si>
  <si>
    <t>δ</t>
  </si>
  <si>
    <t>Complete</t>
  </si>
  <si>
    <t>H2 P</t>
  </si>
  <si>
    <t>H2 E</t>
  </si>
  <si>
    <t>BESS P</t>
  </si>
  <si>
    <t>BESS E</t>
  </si>
  <si>
    <t>δ=0.75</t>
  </si>
  <si>
    <t>δ=0.50</t>
  </si>
  <si>
    <t>δ=0.25</t>
  </si>
  <si>
    <t>WACC (%)</t>
  </si>
  <si>
    <t>incomplete</t>
  </si>
  <si>
    <t>complete</t>
  </si>
  <si>
    <t>risk  neutral</t>
  </si>
  <si>
    <t>average price</t>
  </si>
  <si>
    <t>UE</t>
  </si>
  <si>
    <t>total energy</t>
  </si>
  <si>
    <t>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</si>
</sst>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4" formatCode="0.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2" xfId="0" applyNumberFormat="1" applyBorder="1"/>
    <xf numFmtId="164" fontId="0" fillId="0" borderId="0" xfId="0" applyNumberFormat="1"/>
    <xf numFmtId="164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0" xfId="0" applyNumberFormat="1"/>
    <xf numFmtId="2" fontId="0" fillId="0" borderId="1" xfId="0" applyNumberFormat="1" applyBorder="1"/>
    <xf numFmtId="0" fontId="0" fillId="0" borderId="3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3" xfId="0" applyBorder="1" applyAlignment="1">
      <alignment horizontal="center" textRotation="90"/>
    </xf>
    <xf numFmtId="0" fontId="0" fillId="0" borderId="0" xfId="0" applyAlignment="1">
      <alignment horizontal="center" textRotation="90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144780</xdr:colOff>
      <xdr:row>24</xdr:row>
      <xdr:rowOff>134577</xdr:rowOff>
    </xdr:from>
    <xdr:to>
      <xdr:col>7</xdr:col>
      <xdr:colOff>24316</xdr:colOff>
      <xdr:row>37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9ADD5-3D61-485A-9F1F-B8FEA6BC6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1205" y="5135202"/>
          <a:ext cx="4752975" cy="2347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2F40-47FA-41FE-B3BA-B8FF160E7C28}">
  <dimension ref="A1:H88"/>
  <sheetViews>
    <sheetView tabSelected="1" zoomScale="85" zoomScaleNormal="85" workbookViewId="0">
      <selection activeCell="C49" sqref="C49"/>
    </sheetView>
  </sheetViews>
  <sheetFormatPr defaultRowHeight="14.4" x14ac:dyDescent="0.3"/>
  <cols>
    <col min="3" max="3" width="9.5546875" bestFit="1" customWidth="1"/>
    <col min="4" max="4" width="16" customWidth="1"/>
    <col min="5" max="5" width="12.109375" customWidth="1"/>
    <col min="6" max="6" width="31.5546875" customWidth="1"/>
    <col min="7" max="7" width="11.5546875" bestFit="1" customWidth="1"/>
    <col min="8" max="8" width="10.5546875" bestFit="1" customWidth="1"/>
  </cols>
  <sheetData>
    <row r="1" spans="1:8" x14ac:dyDescent="0.3">
      <c r="B1">
        <v>1</v>
      </c>
      <c r="C1">
        <v>0.75</v>
      </c>
      <c r="D1">
        <v>0.5</v>
      </c>
      <c r="E1">
        <v>0.25</v>
      </c>
    </row>
    <row r="2" spans="1:8" x14ac:dyDescent="0.3">
      <c r="A2">
        <v>13</v>
      </c>
      <c r="B2">
        <v>0.60688202414957704</v>
      </c>
      <c r="C2">
        <v>1.91780906372509</v>
      </c>
      <c r="D2">
        <v>2.0748289729250602</v>
      </c>
      <c r="E2">
        <v>4.4742660401536298</v>
      </c>
    </row>
    <row r="3" spans="1:8" x14ac:dyDescent="0.3">
      <c r="A3">
        <v>1</v>
      </c>
      <c r="B3">
        <v>0.60679017966771198</v>
      </c>
      <c r="C3">
        <v>1.9165927573978301</v>
      </c>
      <c r="D3">
        <v>2.0746944232134701</v>
      </c>
      <c r="E3">
        <v>4.4777343995946497</v>
      </c>
    </row>
    <row r="4" spans="1:8" x14ac:dyDescent="0.3">
      <c r="A4">
        <v>22</v>
      </c>
      <c r="B4">
        <v>294.80852229697501</v>
      </c>
      <c r="C4">
        <v>273.93290728369197</v>
      </c>
      <c r="D4">
        <v>250.90672147618699</v>
      </c>
      <c r="E4">
        <v>231.47987764925</v>
      </c>
    </row>
    <row r="5" spans="1:8" x14ac:dyDescent="0.3">
      <c r="A5">
        <v>24</v>
      </c>
      <c r="B5">
        <v>0.60684826474398701</v>
      </c>
      <c r="C5">
        <v>1.9174728894692601</v>
      </c>
      <c r="D5">
        <v>2.0745771750294799</v>
      </c>
      <c r="E5">
        <v>4.4742435292716802</v>
      </c>
    </row>
    <row r="6" spans="1:8" x14ac:dyDescent="0.3">
      <c r="A6">
        <v>29</v>
      </c>
      <c r="B6">
        <v>41.901721154805998</v>
      </c>
      <c r="C6">
        <v>34.312979977793901</v>
      </c>
      <c r="D6">
        <v>25.735744702308899</v>
      </c>
      <c r="E6">
        <v>19.670164109337801</v>
      </c>
    </row>
    <row r="7" spans="1:8" x14ac:dyDescent="0.3">
      <c r="A7">
        <v>30</v>
      </c>
      <c r="B7">
        <v>0.606799586810844</v>
      </c>
      <c r="C7">
        <v>1.9166435276695</v>
      </c>
      <c r="D7">
        <v>2.0745704035587198</v>
      </c>
      <c r="E7">
        <v>4.4741815007963197</v>
      </c>
    </row>
    <row r="8" spans="1:8" x14ac:dyDescent="0.3">
      <c r="A8">
        <v>6</v>
      </c>
      <c r="B8">
        <v>0.60681315129649904</v>
      </c>
      <c r="C8">
        <v>1.9170114913179199</v>
      </c>
      <c r="D8">
        <v>2.0745018701588398</v>
      </c>
      <c r="E8">
        <v>4.4741718221588096</v>
      </c>
    </row>
    <row r="9" spans="1:8" x14ac:dyDescent="0.3">
      <c r="B9">
        <f>SUM(B2:B8)</f>
        <v>339.7443766584496</v>
      </c>
      <c r="C9">
        <f t="shared" ref="C9:E9" si="0">SUM(C2:C8)</f>
        <v>317.83141699106545</v>
      </c>
      <c r="D9">
        <f t="shared" si="0"/>
        <v>287.01563902338148</v>
      </c>
      <c r="E9">
        <f t="shared" si="0"/>
        <v>273.52463905056288</v>
      </c>
    </row>
    <row r="13" spans="1:8" x14ac:dyDescent="0.3">
      <c r="A13" s="18" t="s">
        <v>0</v>
      </c>
      <c r="B13" s="18"/>
      <c r="C13" s="18"/>
      <c r="D13" s="18"/>
      <c r="E13" s="18"/>
      <c r="F13" s="18"/>
      <c r="G13" s="18"/>
      <c r="H13" s="18"/>
    </row>
    <row r="14" spans="1:8" x14ac:dyDescent="0.3">
      <c r="A14" s="19"/>
      <c r="B14" s="19" t="s">
        <v>6</v>
      </c>
      <c r="C14" s="18" t="s">
        <v>2</v>
      </c>
      <c r="D14" s="18"/>
      <c r="E14" s="18"/>
      <c r="F14" s="18" t="s">
        <v>1</v>
      </c>
      <c r="G14" s="18"/>
      <c r="H14" s="18"/>
    </row>
    <row r="15" spans="1:8" x14ac:dyDescent="0.3">
      <c r="A15" s="20"/>
      <c r="B15" s="20"/>
      <c r="C15" s="1" t="s">
        <v>3</v>
      </c>
      <c r="D15" s="1" t="s">
        <v>4</v>
      </c>
      <c r="E15" s="1" t="s">
        <v>5</v>
      </c>
      <c r="F15" s="1" t="s">
        <v>3</v>
      </c>
      <c r="G15" s="1" t="s">
        <v>4</v>
      </c>
      <c r="H15" s="1" t="s">
        <v>5</v>
      </c>
    </row>
    <row r="16" spans="1:8" x14ac:dyDescent="0.3">
      <c r="A16" s="2"/>
      <c r="B16" s="7">
        <v>1</v>
      </c>
      <c r="C16" s="4">
        <v>9.2314561119885408</v>
      </c>
      <c r="D16" s="4">
        <v>1460.25304563908</v>
      </c>
      <c r="E16" s="4">
        <f>0.55*D16/C16</f>
        <v>87.00027009373828</v>
      </c>
      <c r="F16" s="4">
        <v>9.8537635561804109</v>
      </c>
      <c r="G16" s="4">
        <v>149.94818631989801</v>
      </c>
      <c r="H16" s="4">
        <f>0.92*G16/F16</f>
        <v>13.999963630929692</v>
      </c>
    </row>
    <row r="17" spans="1:8" ht="18.600000000000001" customHeight="1" x14ac:dyDescent="0.3">
      <c r="A17" s="11" t="s">
        <v>7</v>
      </c>
      <c r="B17" s="8">
        <v>0.75</v>
      </c>
      <c r="C17" s="5">
        <v>9.3123144036190499</v>
      </c>
      <c r="D17" s="5">
        <v>1471.1911719918801</v>
      </c>
      <c r="E17" s="5">
        <f t="shared" ref="E17:E22" si="1">0.55*D17/C17</f>
        <v>86.890874762676802</v>
      </c>
      <c r="F17" s="5">
        <v>9.9170011458535807</v>
      </c>
      <c r="G17" s="5">
        <v>150.87044870158601</v>
      </c>
      <c r="H17" s="5">
        <f t="shared" ref="H17:H22" si="2">0.92*G17/F17</f>
        <v>13.996248539659941</v>
      </c>
    </row>
    <row r="18" spans="1:8" ht="19.8" customHeight="1" x14ac:dyDescent="0.3">
      <c r="A18" s="12"/>
      <c r="B18" s="9">
        <v>0.5</v>
      </c>
      <c r="C18" s="5">
        <v>9.3192296573445201</v>
      </c>
      <c r="D18" s="5">
        <v>1476.3692990195</v>
      </c>
      <c r="E18" s="5">
        <f t="shared" si="1"/>
        <v>87.131999566163969</v>
      </c>
      <c r="F18" s="5">
        <v>9.9223271791546601</v>
      </c>
      <c r="G18" s="5">
        <v>150.959171161098</v>
      </c>
      <c r="H18" s="5">
        <f t="shared" si="2"/>
        <v>13.996962099776511</v>
      </c>
    </row>
    <row r="19" spans="1:8" ht="21.6" customHeight="1" x14ac:dyDescent="0.3">
      <c r="A19" s="13"/>
      <c r="B19" s="10">
        <v>0.25</v>
      </c>
      <c r="C19" s="6">
        <v>9.3596951986104209</v>
      </c>
      <c r="D19" s="6">
        <v>1515.44410403708</v>
      </c>
      <c r="E19" s="6">
        <f t="shared" si="1"/>
        <v>89.051431647489764</v>
      </c>
      <c r="F19" s="6">
        <v>9.9751365104761707</v>
      </c>
      <c r="G19" s="6">
        <v>151.69309640894201</v>
      </c>
      <c r="H19" s="6">
        <f t="shared" si="2"/>
        <v>13.990550259603893</v>
      </c>
    </row>
    <row r="20" spans="1:8" ht="23.4" customHeight="1" x14ac:dyDescent="0.3">
      <c r="A20" s="11"/>
      <c r="B20" s="8">
        <v>0.75</v>
      </c>
      <c r="C20" s="5">
        <v>9.0449880500000006</v>
      </c>
      <c r="D20" s="5">
        <v>1445.464076</v>
      </c>
      <c r="E20" s="5">
        <f t="shared" si="1"/>
        <v>87.894559661690209</v>
      </c>
      <c r="F20" s="5">
        <v>9.8334867960000008</v>
      </c>
      <c r="G20" s="5">
        <v>149.6400165</v>
      </c>
      <c r="H20" s="5">
        <f>0.92*G20/F20</f>
        <v>14.000000003660958</v>
      </c>
    </row>
    <row r="21" spans="1:8" ht="25.8" customHeight="1" x14ac:dyDescent="0.3">
      <c r="A21" s="12"/>
      <c r="B21" s="9">
        <v>0.5</v>
      </c>
      <c r="C21" s="5">
        <v>8.8987913150000004</v>
      </c>
      <c r="D21" s="5">
        <v>1480.1191269999999</v>
      </c>
      <c r="E21" s="5">
        <f t="shared" si="1"/>
        <v>91.480459652738801</v>
      </c>
      <c r="F21" s="5">
        <v>9.8412435489999996</v>
      </c>
      <c r="G21" s="5">
        <v>149.75805399999999</v>
      </c>
      <c r="H21" s="5">
        <f t="shared" si="2"/>
        <v>13.999999999390322</v>
      </c>
    </row>
    <row r="22" spans="1:8" ht="28.2" customHeight="1" x14ac:dyDescent="0.3">
      <c r="A22" s="13"/>
      <c r="B22" s="10">
        <v>0.25</v>
      </c>
      <c r="C22" s="6">
        <v>9.0974252450000002</v>
      </c>
      <c r="D22" s="6">
        <v>1540.5785550000001</v>
      </c>
      <c r="E22" s="6">
        <f t="shared" si="1"/>
        <v>93.13824323158812</v>
      </c>
      <c r="F22" s="6">
        <v>9.7426232650000006</v>
      </c>
      <c r="G22" s="6">
        <v>148.25731049999999</v>
      </c>
      <c r="H22" s="6">
        <f t="shared" si="2"/>
        <v>13.99999999486791</v>
      </c>
    </row>
    <row r="25" spans="1:8" x14ac:dyDescent="0.3">
      <c r="A25" s="17"/>
      <c r="B25" s="17"/>
      <c r="C25" s="1" t="s">
        <v>15</v>
      </c>
    </row>
    <row r="26" spans="1:8" x14ac:dyDescent="0.3">
      <c r="A26" s="14" t="s">
        <v>12</v>
      </c>
      <c r="B26" s="3" t="s">
        <v>8</v>
      </c>
      <c r="C26" s="3">
        <v>8.27</v>
      </c>
    </row>
    <row r="27" spans="1:8" x14ac:dyDescent="0.3">
      <c r="A27" s="15"/>
      <c r="B27" t="s">
        <v>9</v>
      </c>
      <c r="C27">
        <v>9.58</v>
      </c>
    </row>
    <row r="28" spans="1:8" x14ac:dyDescent="0.3">
      <c r="A28" s="15"/>
      <c r="B28" t="s">
        <v>10</v>
      </c>
      <c r="C28">
        <v>6.95</v>
      </c>
    </row>
    <row r="29" spans="1:8" x14ac:dyDescent="0.3">
      <c r="A29" s="16"/>
      <c r="B29" s="1" t="s">
        <v>11</v>
      </c>
      <c r="C29" s="1">
        <v>6.96</v>
      </c>
    </row>
    <row r="30" spans="1:8" x14ac:dyDescent="0.3">
      <c r="A30" s="14" t="s">
        <v>13</v>
      </c>
      <c r="B30" s="3" t="s">
        <v>8</v>
      </c>
      <c r="C30" s="3">
        <v>9.8800000000000008</v>
      </c>
    </row>
    <row r="31" spans="1:8" x14ac:dyDescent="0.3">
      <c r="A31" s="15"/>
      <c r="B31" t="s">
        <v>9</v>
      </c>
      <c r="C31">
        <v>10.25</v>
      </c>
    </row>
    <row r="32" spans="1:8" x14ac:dyDescent="0.3">
      <c r="A32" s="15"/>
      <c r="B32" t="s">
        <v>10</v>
      </c>
      <c r="C32">
        <v>7.9</v>
      </c>
    </row>
    <row r="33" spans="1:6" x14ac:dyDescent="0.3">
      <c r="A33" s="16"/>
      <c r="B33" s="1" t="s">
        <v>11</v>
      </c>
      <c r="C33" s="1">
        <v>8.16</v>
      </c>
    </row>
    <row r="34" spans="1:6" x14ac:dyDescent="0.3">
      <c r="A34" s="14" t="s">
        <v>14</v>
      </c>
      <c r="B34" s="3" t="s">
        <v>8</v>
      </c>
      <c r="C34" s="3">
        <v>11.87</v>
      </c>
    </row>
    <row r="35" spans="1:6" x14ac:dyDescent="0.3">
      <c r="A35" s="15"/>
      <c r="B35" t="s">
        <v>9</v>
      </c>
      <c r="C35">
        <v>11.6</v>
      </c>
    </row>
    <row r="36" spans="1:6" x14ac:dyDescent="0.3">
      <c r="A36" s="15"/>
      <c r="B36" t="s">
        <v>10</v>
      </c>
      <c r="C36">
        <v>8.6300000000000008</v>
      </c>
    </row>
    <row r="37" spans="1:6" x14ac:dyDescent="0.3">
      <c r="A37" s="16"/>
      <c r="B37" s="1" t="s">
        <v>11</v>
      </c>
      <c r="C37" s="1">
        <v>9.7899999999999991</v>
      </c>
    </row>
    <row r="42" spans="1:6" x14ac:dyDescent="0.3">
      <c r="B42" s="22" t="s">
        <v>18</v>
      </c>
      <c r="C42" s="22"/>
    </row>
    <row r="43" spans="1:6" x14ac:dyDescent="0.3">
      <c r="B43" s="21" t="s">
        <v>19</v>
      </c>
      <c r="C43" s="21" t="s">
        <v>20</v>
      </c>
      <c r="D43" t="s">
        <v>21</v>
      </c>
      <c r="F43" t="s">
        <v>22</v>
      </c>
    </row>
    <row r="44" spans="1:6" x14ac:dyDescent="0.3">
      <c r="A44">
        <v>1</v>
      </c>
      <c r="B44">
        <v>139.87909999999999</v>
      </c>
      <c r="C44">
        <v>12.1145660954987</v>
      </c>
      <c r="D44">
        <v>570458.22547739302</v>
      </c>
      <c r="E44">
        <f>C44*100/D44</f>
        <v>2.1236552572031931E-3</v>
      </c>
      <c r="F44">
        <v>10923247265.1402</v>
      </c>
    </row>
    <row r="46" spans="1:6" x14ac:dyDescent="0.3">
      <c r="B46" s="22" t="s">
        <v>17</v>
      </c>
      <c r="C46" s="22"/>
    </row>
    <row r="47" spans="1:6" x14ac:dyDescent="0.3">
      <c r="B47" s="21" t="s">
        <v>19</v>
      </c>
      <c r="C47" s="21" t="s">
        <v>20</v>
      </c>
      <c r="D47" t="s">
        <v>22</v>
      </c>
    </row>
    <row r="48" spans="1:6" x14ac:dyDescent="0.3">
      <c r="A48">
        <v>0.9</v>
      </c>
      <c r="B48">
        <v>136.1422</v>
      </c>
      <c r="C48">
        <v>11.5</v>
      </c>
      <c r="D48">
        <v>10922995152.261499</v>
      </c>
    </row>
    <row r="49" spans="1:6" x14ac:dyDescent="0.3">
      <c r="A49">
        <v>0.8</v>
      </c>
      <c r="B49">
        <v>132.75450000000001</v>
      </c>
      <c r="C49">
        <v>10.852166783584</v>
      </c>
      <c r="D49">
        <v>10922782112.403</v>
      </c>
    </row>
    <row r="50" spans="1:6" x14ac:dyDescent="0.3">
      <c r="A50">
        <v>0.7</v>
      </c>
      <c r="B50">
        <v>129.62289999999999</v>
      </c>
      <c r="C50">
        <v>10.999738686105299</v>
      </c>
      <c r="D50">
        <v>10922560710.6152</v>
      </c>
    </row>
    <row r="51" spans="1:6" x14ac:dyDescent="0.3">
      <c r="A51">
        <v>0.6</v>
      </c>
      <c r="B51">
        <v>126.5853</v>
      </c>
      <c r="C51">
        <v>11.1627588333989</v>
      </c>
      <c r="D51">
        <v>10922302339.0436</v>
      </c>
    </row>
    <row r="52" spans="1:6" x14ac:dyDescent="0.3">
      <c r="A52">
        <v>0.5</v>
      </c>
      <c r="B52">
        <v>123.7778</v>
      </c>
      <c r="C52">
        <v>11.9354764380048</v>
      </c>
      <c r="D52">
        <v>10922081012.8708</v>
      </c>
    </row>
    <row r="53" spans="1:6" x14ac:dyDescent="0.3">
      <c r="A53">
        <v>0.4</v>
      </c>
      <c r="B53">
        <v>121.2859</v>
      </c>
      <c r="C53">
        <v>11.5517069497647</v>
      </c>
      <c r="D53">
        <v>10921883049.368</v>
      </c>
    </row>
    <row r="54" spans="1:6" x14ac:dyDescent="0.3">
      <c r="A54">
        <v>0.3</v>
      </c>
      <c r="B54">
        <v>119.10339999999999</v>
      </c>
      <c r="C54">
        <v>13.1692941664275</v>
      </c>
      <c r="D54">
        <v>10921628803.5324</v>
      </c>
    </row>
    <row r="55" spans="1:6" x14ac:dyDescent="0.3">
      <c r="A55">
        <v>0.2</v>
      </c>
      <c r="B55">
        <v>117.13509999999999</v>
      </c>
      <c r="C55">
        <v>15.911137879066599</v>
      </c>
      <c r="D55">
        <v>10921355167.3988</v>
      </c>
    </row>
    <row r="56" spans="1:6" x14ac:dyDescent="0.3">
      <c r="A56">
        <v>0.1</v>
      </c>
      <c r="B56">
        <v>115.93170000000001</v>
      </c>
      <c r="C56">
        <v>20.691522848169999</v>
      </c>
      <c r="D56">
        <v>10921045378.714899</v>
      </c>
    </row>
    <row r="58" spans="1:6" x14ac:dyDescent="0.3">
      <c r="B58" s="22" t="s">
        <v>16</v>
      </c>
      <c r="C58" s="22"/>
    </row>
    <row r="59" spans="1:6" x14ac:dyDescent="0.3">
      <c r="B59" s="21" t="s">
        <v>19</v>
      </c>
      <c r="C59" s="21" t="s">
        <v>20</v>
      </c>
      <c r="D59" t="s">
        <v>22</v>
      </c>
    </row>
    <row r="60" spans="1:6" x14ac:dyDescent="0.3">
      <c r="A60">
        <v>0.9</v>
      </c>
      <c r="B60">
        <v>144.49359999999999</v>
      </c>
      <c r="C60">
        <v>12.2</v>
      </c>
      <c r="D60">
        <v>10923116520.682899</v>
      </c>
      <c r="E60">
        <f>C48-C60</f>
        <v>-0.69999999999999929</v>
      </c>
      <c r="F60" s="23">
        <f>E60*100/$D$44</f>
        <v>-1.2270837175048149E-4</v>
      </c>
    </row>
    <row r="61" spans="1:6" x14ac:dyDescent="0.3">
      <c r="A61">
        <v>0.8</v>
      </c>
      <c r="B61">
        <v>149.56790000000001</v>
      </c>
      <c r="C61">
        <v>12.344589826999099</v>
      </c>
      <c r="D61">
        <v>10922863407.857</v>
      </c>
      <c r="E61">
        <f t="shared" ref="E61:E68" si="3">C49-C61</f>
        <v>-1.4924230434150996</v>
      </c>
      <c r="F61">
        <f t="shared" ref="F61:F68" si="4">E61*100/$D$44</f>
        <v>-2.6161828802909312E-4</v>
      </c>
    </row>
    <row r="62" spans="1:6" x14ac:dyDescent="0.3">
      <c r="A62">
        <v>0.7</v>
      </c>
      <c r="B62">
        <v>155.08150000000001</v>
      </c>
      <c r="C62">
        <v>12.881285057667901</v>
      </c>
      <c r="D62">
        <v>10922574936.178499</v>
      </c>
      <c r="E62">
        <f t="shared" si="3"/>
        <v>-1.8815463715626013</v>
      </c>
      <c r="F62">
        <f t="shared" si="4"/>
        <v>-3.2983070232496211E-4</v>
      </c>
    </row>
    <row r="63" spans="1:6" x14ac:dyDescent="0.3">
      <c r="A63">
        <v>0.6</v>
      </c>
      <c r="B63">
        <v>161.34030000000001</v>
      </c>
      <c r="C63">
        <v>13.429691243944699</v>
      </c>
      <c r="D63">
        <v>10922238614.9389</v>
      </c>
      <c r="E63">
        <f t="shared" si="3"/>
        <v>-2.2669324105457989</v>
      </c>
      <c r="F63">
        <f t="shared" si="4"/>
        <v>-3.9738797852352753E-4</v>
      </c>
    </row>
    <row r="64" spans="1:6" x14ac:dyDescent="0.3">
      <c r="A64">
        <v>0.5</v>
      </c>
      <c r="B64">
        <v>168.96770000000001</v>
      </c>
      <c r="C64">
        <v>16.099853951052499</v>
      </c>
      <c r="D64">
        <v>10921849032.7728</v>
      </c>
      <c r="E64">
        <f t="shared" si="3"/>
        <v>-4.1643775130476985</v>
      </c>
      <c r="F64">
        <f t="shared" si="4"/>
        <v>-7.3000569140057583E-4</v>
      </c>
    </row>
    <row r="65" spans="1:6" x14ac:dyDescent="0.3">
      <c r="A65">
        <v>0.4</v>
      </c>
      <c r="B65">
        <v>180.73429999999999</v>
      </c>
      <c r="C65">
        <v>16.7075652480851</v>
      </c>
      <c r="D65">
        <v>10921849032.7728</v>
      </c>
      <c r="E65">
        <f t="shared" si="3"/>
        <v>-5.1558582983203998</v>
      </c>
      <c r="F65">
        <f t="shared" si="4"/>
        <v>-9.0380996680443587E-4</v>
      </c>
    </row>
    <row r="66" spans="1:6" x14ac:dyDescent="0.3">
      <c r="A66">
        <v>0.3</v>
      </c>
      <c r="B66">
        <v>199.27760000000001</v>
      </c>
      <c r="C66">
        <v>18.642101199517601</v>
      </c>
      <c r="D66">
        <v>10920737182.047899</v>
      </c>
      <c r="E66">
        <f t="shared" si="3"/>
        <v>-5.4728070330901009</v>
      </c>
      <c r="F66">
        <f t="shared" si="4"/>
        <v>-9.5937034276438618E-4</v>
      </c>
    </row>
    <row r="67" spans="1:6" x14ac:dyDescent="0.3">
      <c r="A67">
        <v>0.2</v>
      </c>
      <c r="B67">
        <v>223.67840000000001</v>
      </c>
      <c r="C67">
        <v>21.611071151669599</v>
      </c>
      <c r="D67">
        <v>10919868341.0651</v>
      </c>
      <c r="E67">
        <f t="shared" si="3"/>
        <v>-5.6999332726029994</v>
      </c>
      <c r="F67">
        <f t="shared" si="4"/>
        <v>-9.9918504423929721E-4</v>
      </c>
    </row>
    <row r="68" spans="1:6" x14ac:dyDescent="0.3">
      <c r="A68">
        <v>0.1</v>
      </c>
      <c r="B68">
        <v>305.96269999999998</v>
      </c>
      <c r="C68">
        <v>38.503650886550403</v>
      </c>
      <c r="D68">
        <v>10916415280.4674</v>
      </c>
      <c r="E68">
        <f t="shared" si="3"/>
        <v>-17.812128038380404</v>
      </c>
      <c r="F68">
        <f t="shared" si="4"/>
        <v>-3.1224246128582277E-3</v>
      </c>
    </row>
    <row r="70" spans="1:6" x14ac:dyDescent="0.3">
      <c r="D70">
        <f>D48-D60</f>
        <v>-121368.42140007019</v>
      </c>
      <c r="E70" s="9">
        <f>D70+122500</f>
        <v>1131.5785999298096</v>
      </c>
      <c r="F70">
        <f>E60*100/$C$44</f>
        <v>-5.7781681529649829</v>
      </c>
    </row>
    <row r="71" spans="1:6" x14ac:dyDescent="0.3">
      <c r="D71">
        <f>D49-D61</f>
        <v>-81295.454000473022</v>
      </c>
      <c r="E71" s="9">
        <f>D71+90000</f>
        <v>8704.5459995269775</v>
      </c>
      <c r="F71">
        <f t="shared" ref="F71:F79" si="5">E61*100/$C$44</f>
        <v>-12.319244714588876</v>
      </c>
    </row>
    <row r="72" spans="1:6" x14ac:dyDescent="0.3">
      <c r="D72">
        <f>D50-D62</f>
        <v>-14225.563299179077</v>
      </c>
      <c r="E72" s="9">
        <f>D72+40000</f>
        <v>25774.436700820923</v>
      </c>
      <c r="F72">
        <f t="shared" si="5"/>
        <v>-15.531273317842645</v>
      </c>
    </row>
    <row r="73" spans="1:6" x14ac:dyDescent="0.3">
      <c r="D73">
        <f>D51-D63</f>
        <v>63724.104700088501</v>
      </c>
      <c r="E73" s="9">
        <f t="shared" ref="E71:E78" si="6">D73</f>
        <v>63724.104700088501</v>
      </c>
      <c r="F73">
        <f t="shared" si="5"/>
        <v>-18.712452370771267</v>
      </c>
    </row>
    <row r="74" spans="1:6" x14ac:dyDescent="0.3">
      <c r="D74">
        <f>D52-D64</f>
        <v>231980.09799957275</v>
      </c>
      <c r="E74" s="9">
        <f t="shared" si="6"/>
        <v>231980.09799957275</v>
      </c>
      <c r="F74">
        <f t="shared" si="5"/>
        <v>-34.374962175451074</v>
      </c>
    </row>
    <row r="75" spans="1:6" x14ac:dyDescent="0.3">
      <c r="D75">
        <f>D53-D65</f>
        <v>34016.595199584961</v>
      </c>
      <c r="E75" s="9">
        <f>D75*10</f>
        <v>340165.95199584961</v>
      </c>
      <c r="F75">
        <f t="shared" si="5"/>
        <v>-42.559166029364562</v>
      </c>
    </row>
    <row r="76" spans="1:6" x14ac:dyDescent="0.3">
      <c r="D76">
        <f>D54-D66</f>
        <v>891621.48450088501</v>
      </c>
      <c r="E76" s="9">
        <f t="shared" si="6"/>
        <v>891621.48450088501</v>
      </c>
      <c r="F76">
        <f t="shared" si="5"/>
        <v>-45.175427579891462</v>
      </c>
    </row>
    <row r="77" spans="1:6" x14ac:dyDescent="0.3">
      <c r="D77">
        <f>D55-D67</f>
        <v>1486826.3337001801</v>
      </c>
      <c r="E77" s="9">
        <f t="shared" si="6"/>
        <v>1486826.3337001801</v>
      </c>
      <c r="F77">
        <f t="shared" si="5"/>
        <v>-47.050247013971649</v>
      </c>
    </row>
    <row r="78" spans="1:6" x14ac:dyDescent="0.3">
      <c r="D78">
        <f>D56-D68</f>
        <v>4630098.2474994659</v>
      </c>
      <c r="E78" s="9">
        <f t="shared" si="6"/>
        <v>4630098.2474994659</v>
      </c>
      <c r="F78">
        <f t="shared" si="5"/>
        <v>-147.03067281129196</v>
      </c>
    </row>
    <row r="80" spans="1:6" x14ac:dyDescent="0.3">
      <c r="E80">
        <f>E70*100/$F$44</f>
        <v>1.03593608426412E-5</v>
      </c>
    </row>
    <row r="81" spans="5:5" x14ac:dyDescent="0.3">
      <c r="E81">
        <f t="shared" ref="E81:E89" si="7">E71*100/$F$44</f>
        <v>7.9688262915242678E-5</v>
      </c>
    </row>
    <row r="82" spans="5:5" x14ac:dyDescent="0.3">
      <c r="E82">
        <f t="shared" si="7"/>
        <v>2.3595947317860252E-4</v>
      </c>
    </row>
    <row r="83" spans="5:5" x14ac:dyDescent="0.3">
      <c r="E83">
        <f t="shared" si="7"/>
        <v>5.8338059327333745E-4</v>
      </c>
    </row>
    <row r="84" spans="5:5" x14ac:dyDescent="0.3">
      <c r="E84">
        <f t="shared" si="7"/>
        <v>2.1237283416617346E-3</v>
      </c>
    </row>
    <row r="85" spans="5:5" x14ac:dyDescent="0.3">
      <c r="E85">
        <f t="shared" si="7"/>
        <v>3.114146771001284E-3</v>
      </c>
    </row>
    <row r="86" spans="5:5" x14ac:dyDescent="0.3">
      <c r="E86">
        <f t="shared" si="7"/>
        <v>8.16260460702334E-3</v>
      </c>
    </row>
    <row r="87" spans="5:5" x14ac:dyDescent="0.3">
      <c r="E87">
        <f t="shared" si="7"/>
        <v>1.3611578110523498E-2</v>
      </c>
    </row>
    <row r="88" spans="5:5" x14ac:dyDescent="0.3">
      <c r="E88">
        <f t="shared" si="7"/>
        <v>4.238756237145419E-2</v>
      </c>
    </row>
  </sheetData>
  <mergeCells count="14">
    <mergeCell ref="B58:C58"/>
    <mergeCell ref="B46:C46"/>
    <mergeCell ref="B42:C42"/>
    <mergeCell ref="A13:H13"/>
    <mergeCell ref="F14:H14"/>
    <mergeCell ref="C14:E14"/>
    <mergeCell ref="B14:B15"/>
    <mergeCell ref="A14:A15"/>
    <mergeCell ref="A17:A19"/>
    <mergeCell ref="A20:A22"/>
    <mergeCell ref="A26:A29"/>
    <mergeCell ref="A30:A33"/>
    <mergeCell ref="A34:A37"/>
    <mergeCell ref="A25:B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Makrides</dc:creator>
  <cp:lastModifiedBy>Makrides, Andreas</cp:lastModifiedBy>
  <dcterms:created xsi:type="dcterms:W3CDTF">2025-09-16T15:32:23Z</dcterms:created>
  <dcterms:modified xsi:type="dcterms:W3CDTF">2025-10-03T13:46:43Z</dcterms:modified>
</cp:coreProperties>
</file>