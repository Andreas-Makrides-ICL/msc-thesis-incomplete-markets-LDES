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sc-thesis-incomplete-markets-LDES\models\Extra\Fully_incomplete_markets_ADMM\PSCC\"/>
    </mc:Choice>
  </mc:AlternateContent>
  <xr:revisionPtr revIDLastSave="0" documentId="13_ncr:1_{CBBEE97E-62A8-419E-BCB2-0E26556DB84D}" xr6:coauthVersionLast="47" xr6:coauthVersionMax="47" xr10:uidLastSave="{00000000-0000-0000-0000-000000000000}"/>
  <bookViews>
    <workbookView xWindow="-108" yWindow="-108" windowWidth="23256" windowHeight="12456" xr2:uid="{1944C3FF-876F-40BF-B994-E1E65FCB3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B19" i="1"/>
  <c r="C20" i="1"/>
  <c r="C21" i="1"/>
  <c r="E21" i="1"/>
  <c r="E20" i="1"/>
  <c r="E19" i="1"/>
  <c r="D21" i="1"/>
  <c r="D20" i="1"/>
  <c r="D19" i="1"/>
</calcChain>
</file>

<file path=xl/sharedStrings.xml><?xml version="1.0" encoding="utf-8"?>
<sst xmlns="http://schemas.openxmlformats.org/spreadsheetml/2006/main" count="19" uniqueCount="12">
  <si>
    <t>δ</t>
  </si>
  <si>
    <t>BESS Charge</t>
  </si>
  <si>
    <t>BESS Discharge</t>
  </si>
  <si>
    <t>H2 Charge</t>
  </si>
  <si>
    <t>H2 Discharge</t>
  </si>
  <si>
    <t>Total Charge</t>
  </si>
  <si>
    <t>Total Discharge</t>
  </si>
  <si>
    <t>COMPLETE</t>
  </si>
  <si>
    <t>INCOMPLETE</t>
  </si>
  <si>
    <t>Δλ</t>
  </si>
  <si>
    <t>ΔUE</t>
  </si>
  <si>
    <t>ΔSW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</si>
</sst>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6771-40A2-447F-8CC0-64B153E92256}">
  <dimension ref="A1:G21"/>
  <sheetViews>
    <sheetView tabSelected="1" topLeftCell="A13" workbookViewId="0">
      <selection activeCell="C19" sqref="C19"/>
    </sheetView>
  </sheetViews>
  <sheetFormatPr defaultRowHeight="14.4" x14ac:dyDescent="0.3"/>
  <cols>
    <col min="1" max="1" width="5" style="1" bestFit="1" customWidth="1"/>
    <col min="2" max="2" width="11.33203125" style="1" bestFit="1" customWidth="1"/>
    <col min="3" max="3" width="14.109375" style="1" bestFit="1" customWidth="1"/>
    <col min="4" max="4" width="10" style="1" bestFit="1" customWidth="1"/>
    <col min="5" max="5" width="12.21875" style="1" bestFit="1" customWidth="1"/>
    <col min="6" max="6" width="11.6640625" style="1" bestFit="1" customWidth="1"/>
    <col min="7" max="7" width="14.44140625" style="1" bestFit="1" customWidth="1"/>
    <col min="8" max="16384" width="8.88671875" style="1"/>
  </cols>
  <sheetData>
    <row r="1" spans="1:7" x14ac:dyDescent="0.3">
      <c r="A1" s="2" t="s">
        <v>7</v>
      </c>
      <c r="B1" s="2"/>
      <c r="C1" s="2"/>
      <c r="D1" s="2"/>
      <c r="E1" s="2"/>
      <c r="F1" s="2"/>
      <c r="G1" s="2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1">
        <v>1</v>
      </c>
      <c r="B3" s="1">
        <v>222109.6</v>
      </c>
      <c r="C3" s="1">
        <v>187992.34448500001</v>
      </c>
      <c r="D3" s="1">
        <v>1035567</v>
      </c>
      <c r="E3" s="1">
        <v>398693.14665800001</v>
      </c>
      <c r="F3" s="1">
        <v>1257676</v>
      </c>
      <c r="G3" s="1">
        <v>586685.49114299996</v>
      </c>
    </row>
    <row r="4" spans="1:7" x14ac:dyDescent="0.3">
      <c r="A4" s="1">
        <v>0.75</v>
      </c>
      <c r="B4" s="1">
        <v>258241.1</v>
      </c>
      <c r="C4" s="1">
        <v>218564.30006499999</v>
      </c>
      <c r="D4" s="1">
        <v>1062951</v>
      </c>
      <c r="E4" s="1">
        <v>409234.88715199998</v>
      </c>
      <c r="F4" s="1">
        <v>1321193</v>
      </c>
      <c r="G4" s="1">
        <v>627799.18721799995</v>
      </c>
    </row>
    <row r="5" spans="1:7" x14ac:dyDescent="0.3">
      <c r="A5" s="1">
        <v>0.5</v>
      </c>
      <c r="B5" s="1">
        <v>243016.2</v>
      </c>
      <c r="C5" s="1">
        <v>205683.45349099999</v>
      </c>
      <c r="D5" s="1">
        <v>1089873</v>
      </c>
      <c r="E5" s="1">
        <v>419600.47701199999</v>
      </c>
      <c r="F5" s="1">
        <v>1332889</v>
      </c>
      <c r="G5" s="1">
        <v>625283.93050300004</v>
      </c>
    </row>
    <row r="6" spans="1:7" x14ac:dyDescent="0.3">
      <c r="A6" s="1">
        <v>0.25</v>
      </c>
      <c r="B6" s="1">
        <v>281447.3</v>
      </c>
      <c r="C6" s="1">
        <v>238201.694987</v>
      </c>
      <c r="D6" s="1">
        <v>1127779</v>
      </c>
      <c r="E6" s="1">
        <v>434191.660462</v>
      </c>
      <c r="F6" s="1">
        <v>1409226</v>
      </c>
      <c r="G6" s="1">
        <v>672393.35544900002</v>
      </c>
    </row>
    <row r="8" spans="1:7" x14ac:dyDescent="0.3">
      <c r="A8" s="2" t="s">
        <v>8</v>
      </c>
      <c r="B8" s="2"/>
      <c r="C8" s="2"/>
      <c r="D8" s="2"/>
      <c r="E8" s="2"/>
      <c r="F8" s="2"/>
      <c r="G8" s="2"/>
    </row>
    <row r="9" spans="1:7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</row>
    <row r="10" spans="1:7" x14ac:dyDescent="0.3">
      <c r="A10" s="1">
        <v>0.75</v>
      </c>
      <c r="B10" s="1">
        <v>225731.8</v>
      </c>
      <c r="C10" s="1">
        <v>191059.394007</v>
      </c>
      <c r="D10" s="1">
        <v>1023499</v>
      </c>
      <c r="E10" s="1">
        <v>394047.24123500002</v>
      </c>
      <c r="F10" s="1">
        <v>1249231</v>
      </c>
      <c r="G10" s="1">
        <v>585106.63524199999</v>
      </c>
    </row>
    <row r="11" spans="1:7" x14ac:dyDescent="0.3">
      <c r="A11" s="1">
        <v>0.5</v>
      </c>
      <c r="B11" s="1">
        <v>236904.1</v>
      </c>
      <c r="C11" s="1">
        <v>200515.61574400001</v>
      </c>
      <c r="D11" s="1">
        <v>1030374</v>
      </c>
      <c r="E11" s="1">
        <v>396693.893262</v>
      </c>
      <c r="F11" s="1">
        <v>1267278</v>
      </c>
      <c r="G11" s="1">
        <v>597209.50900600001</v>
      </c>
    </row>
    <row r="12" spans="1:7" x14ac:dyDescent="0.3">
      <c r="A12" s="1">
        <v>0.25</v>
      </c>
      <c r="B12" s="1">
        <v>251743.3</v>
      </c>
      <c r="C12" s="1">
        <v>213075.54885399999</v>
      </c>
      <c r="D12" s="1">
        <v>1039526</v>
      </c>
      <c r="E12" s="1">
        <v>400217.421699</v>
      </c>
      <c r="F12" s="1">
        <v>1291269</v>
      </c>
      <c r="G12" s="1">
        <v>613292.970554</v>
      </c>
    </row>
    <row r="18" spans="2:5" x14ac:dyDescent="0.3">
      <c r="C18" s="1" t="s">
        <v>11</v>
      </c>
      <c r="D18" s="1" t="s">
        <v>9</v>
      </c>
      <c r="E18" s="1" t="s">
        <v>10</v>
      </c>
    </row>
    <row r="19" spans="2:5" x14ac:dyDescent="0.3">
      <c r="B19" s="1">
        <f>10922632420.6003-10922725162.1521</f>
        <v>-92741.55179977417</v>
      </c>
      <c r="C19" s="1">
        <f>10922632420.6003-10922605162.1521</f>
        <v>27258.44820022583</v>
      </c>
      <c r="D19" s="1">
        <f>131.0924-152.2463</f>
        <v>-21.153899999999993</v>
      </c>
      <c r="E19" s="1">
        <f>(11.7974358985883-12.6340185557904)*100/570458</f>
        <v>-1.4665105182188679E-4</v>
      </c>
    </row>
    <row r="20" spans="2:5" x14ac:dyDescent="0.3">
      <c r="C20" s="1">
        <f>10922105441.8025-10921849032.7728</f>
        <v>256409.02969932556</v>
      </c>
      <c r="D20" s="1">
        <f>123.7842-168.9677</f>
        <v>-45.183500000000009</v>
      </c>
      <c r="E20" s="1">
        <f>(11.1854499456025-16.0998539510525)*100/570458</f>
        <v>-8.6148393141125175E-4</v>
      </c>
    </row>
    <row r="21" spans="2:5" x14ac:dyDescent="0.3">
      <c r="C21" s="1">
        <f>10921500293.0732-10920235938.1058</f>
        <v>1264354.9673995972</v>
      </c>
      <c r="D21" s="1">
        <f>118.0893-211.9452</f>
        <v>-93.855900000000005</v>
      </c>
      <c r="E21" s="1">
        <f>(14.1385992564688-21.0439630551541)*100/570458</f>
        <v>-1.2104946900008944E-3</v>
      </c>
    </row>
  </sheetData>
  <mergeCells count="2">
    <mergeCell ref="A1:G1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Makrides</dc:creator>
  <cp:lastModifiedBy>Andreas Makrides</cp:lastModifiedBy>
  <dcterms:created xsi:type="dcterms:W3CDTF">2025-09-27T04:56:52Z</dcterms:created>
  <dcterms:modified xsi:type="dcterms:W3CDTF">2025-09-27T05:42:26Z</dcterms:modified>
</cp:coreProperties>
</file>